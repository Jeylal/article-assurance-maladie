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lal\Documents\GitHub\article-assurance-maladie\"/>
    </mc:Choice>
  </mc:AlternateContent>
  <xr:revisionPtr revIDLastSave="0" documentId="13_ncr:1_{B8C4D244-B18E-4F88-9DFE-225CC8BEAFC2}" xr6:coauthVersionLast="47" xr6:coauthVersionMax="47" xr10:uidLastSave="{00000000-0000-0000-0000-000000000000}"/>
  <bookViews>
    <workbookView xWindow="0" yWindow="510" windowWidth="28485" windowHeight="14970" activeTab="3" xr2:uid="{6F1D0405-E567-46E6-8D14-14BA1834753A}"/>
  </bookViews>
  <sheets>
    <sheet name="sources" sheetId="1" r:id="rId1"/>
    <sheet name="graphique 1" sheetId="2" r:id="rId2"/>
    <sheet name="graphique2" sheetId="3" r:id="rId3"/>
    <sheet name="graphique3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2" l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3" i="2"/>
  <c r="P24" i="2"/>
  <c r="P21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2" i="2"/>
  <c r="P23" i="2"/>
  <c r="P25" i="2"/>
  <c r="P26" i="2"/>
  <c r="P27" i="2"/>
  <c r="P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" i="2"/>
</calcChain>
</file>

<file path=xl/sharedStrings.xml><?xml version="1.0" encoding="utf-8"?>
<sst xmlns="http://schemas.openxmlformats.org/spreadsheetml/2006/main" count="42" uniqueCount="41">
  <si>
    <t>Year</t>
  </si>
  <si>
    <t>Indice_salaire_reel</t>
  </si>
  <si>
    <t>indice_salaire_nominal</t>
  </si>
  <si>
    <t>cout_prestation_sante_hab</t>
  </si>
  <si>
    <t>cout_prest_sante</t>
  </si>
  <si>
    <t>cout_pres_sante_pib</t>
  </si>
  <si>
    <t>ipam_total</t>
  </si>
  <si>
    <t>ipam_base</t>
  </si>
  <si>
    <t>ipam_compl</t>
  </si>
  <si>
    <t>Influence de l'évolution des primes sur la croissance de revenu disponible (subventions incl.)</t>
  </si>
  <si>
    <t>salaire_reel100</t>
  </si>
  <si>
    <t>salaire_nominal100</t>
  </si>
  <si>
    <t>pib_reel_chain2020</t>
  </si>
  <si>
    <t>pib_reel_100</t>
  </si>
  <si>
    <t xml:space="preserve"> </t>
  </si>
  <si>
    <t>indice_cout_sante_hab100</t>
  </si>
  <si>
    <t>Dépenses détaillées des ménages selon la classe de revenu, catégorisée en quintiles</t>
  </si>
  <si>
    <t>annee</t>
  </si>
  <si>
    <t>2006-2008</t>
  </si>
  <si>
    <t>total</t>
  </si>
  <si>
    <t>2009-2011</t>
  </si>
  <si>
    <t>2012-2014</t>
  </si>
  <si>
    <t>2015-2017</t>
  </si>
  <si>
    <t>2018-2019</t>
  </si>
  <si>
    <t>2020-2021</t>
  </si>
  <si>
    <t>Enquête sur le budget des ménages, OFS</t>
  </si>
  <si>
    <t>Assurance-maladie de base, primes</t>
  </si>
  <si>
    <t>Q1</t>
  </si>
  <si>
    <t>Q2</t>
  </si>
  <si>
    <t>Q3</t>
  </si>
  <si>
    <t>Q4</t>
  </si>
  <si>
    <t>Q5</t>
  </si>
  <si>
    <t>tx_prime</t>
  </si>
  <si>
    <t>tx_couts</t>
  </si>
  <si>
    <t>Nombre des Bénéficiaires 1</t>
  </si>
  <si>
    <t>Nombre des ménages</t>
  </si>
  <si>
    <t>primes_moyenne_par_assures</t>
  </si>
  <si>
    <t>Taux de bénéficiaires (%)</t>
  </si>
  <si>
    <t>Primes moyennes par assuré</t>
  </si>
  <si>
    <t>Subventions selon la LAMal par ménage (en francs)</t>
  </si>
  <si>
    <t>Subventions par ménage (francs)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</si>
</sst>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E625-6D48-49B0-A0DE-D93A46308B26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F8C4-6D55-40E2-9AE7-552D21CEB599}">
  <dimension ref="A1:Q27"/>
  <sheetViews>
    <sheetView workbookViewId="0">
      <selection activeCell="P1" sqref="P1:Q27"/>
    </sheetView>
  </sheetViews>
  <sheetFormatPr baseColWidth="10" defaultRowHeight="14.25" x14ac:dyDescent="0.45"/>
  <cols>
    <col min="4" max="4" width="22.86328125" customWidth="1"/>
    <col min="5" max="5" width="23.59765625" customWidth="1"/>
    <col min="6" max="6" width="21.132812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32</v>
      </c>
      <c r="Q1" t="s">
        <v>33</v>
      </c>
    </row>
    <row r="2" spans="1:17" x14ac:dyDescent="0.45">
      <c r="A2">
        <v>1999</v>
      </c>
      <c r="B2">
        <v>280</v>
      </c>
      <c r="C2">
        <v>1938</v>
      </c>
      <c r="D2">
        <v>480.81456637682402</v>
      </c>
      <c r="E2">
        <v>41219.2163334918</v>
      </c>
      <c r="F2">
        <v>9.2117023327310292</v>
      </c>
      <c r="G2">
        <v>100</v>
      </c>
      <c r="H2">
        <v>100</v>
      </c>
      <c r="I2">
        <v>100</v>
      </c>
      <c r="K2">
        <v>100</v>
      </c>
      <c r="L2">
        <v>100</v>
      </c>
      <c r="M2">
        <v>494680.50768559601</v>
      </c>
      <c r="N2">
        <v>100</v>
      </c>
      <c r="O2">
        <f>D2/$D$2*100</f>
        <v>100</v>
      </c>
    </row>
    <row r="3" spans="1:17" x14ac:dyDescent="0.45">
      <c r="A3">
        <v>2000</v>
      </c>
      <c r="B3">
        <v>279</v>
      </c>
      <c r="C3">
        <v>1963</v>
      </c>
      <c r="D3">
        <v>498.27519242888502</v>
      </c>
      <c r="E3">
        <v>42956.799624835498</v>
      </c>
      <c r="F3">
        <v>9.1098944165392002</v>
      </c>
      <c r="G3">
        <v>104.6</v>
      </c>
      <c r="H3">
        <v>103.8</v>
      </c>
      <c r="I3">
        <v>106.4</v>
      </c>
      <c r="J3" t="s">
        <v>14</v>
      </c>
      <c r="K3">
        <v>99.642857142857139</v>
      </c>
      <c r="L3">
        <v>101.28998968008256</v>
      </c>
      <c r="M3">
        <v>512653.323301428</v>
      </c>
      <c r="N3">
        <v>103.63321686150913</v>
      </c>
      <c r="O3">
        <f t="shared" ref="O3:O27" si="0">D3/$D$2*100</f>
        <v>103.63146777844845</v>
      </c>
      <c r="P3">
        <f>LOG(I3)-LOG(I2)</f>
        <v>2.6941627959029546E-2</v>
      </c>
      <c r="Q3">
        <f>LOG(F3)-LOG(F2)</f>
        <v>-4.8265521725734395E-3</v>
      </c>
    </row>
    <row r="4" spans="1:17" x14ac:dyDescent="0.45">
      <c r="A4">
        <v>2001</v>
      </c>
      <c r="B4">
        <v>284</v>
      </c>
      <c r="C4">
        <v>2011</v>
      </c>
      <c r="D4">
        <v>526.19068838696103</v>
      </c>
      <c r="E4">
        <v>45631.122844482401</v>
      </c>
      <c r="F4">
        <v>9.4349957837579801</v>
      </c>
      <c r="G4">
        <v>110.3</v>
      </c>
      <c r="H4">
        <v>109.8</v>
      </c>
      <c r="I4">
        <v>111.1</v>
      </c>
      <c r="J4">
        <v>-0.4</v>
      </c>
      <c r="K4">
        <v>101.42857142857142</v>
      </c>
      <c r="L4">
        <v>103.76676986584108</v>
      </c>
      <c r="M4">
        <v>520815.77781889698</v>
      </c>
      <c r="N4">
        <v>105.28326257599619</v>
      </c>
      <c r="O4">
        <f t="shared" si="0"/>
        <v>109.43734345489334</v>
      </c>
      <c r="P4">
        <f t="shared" ref="P4:P27" si="1">LOG(I4)-LOG(I3)</f>
        <v>1.8772430981838006E-2</v>
      </c>
      <c r="Q4">
        <f t="shared" ref="Q4:Q27" si="2">LOG(F4)-LOG(F3)</f>
        <v>1.5228366887252154E-2</v>
      </c>
    </row>
    <row r="5" spans="1:17" x14ac:dyDescent="0.45">
      <c r="A5">
        <v>2002</v>
      </c>
      <c r="B5">
        <v>287</v>
      </c>
      <c r="C5">
        <v>2047</v>
      </c>
      <c r="D5">
        <v>543.38755948914002</v>
      </c>
      <c r="E5">
        <v>47501.329849814298</v>
      </c>
      <c r="F5">
        <v>9.8534695572985296</v>
      </c>
      <c r="G5">
        <v>119</v>
      </c>
      <c r="H5">
        <v>120.8</v>
      </c>
      <c r="I5">
        <v>115.4</v>
      </c>
      <c r="J5">
        <v>-0.5</v>
      </c>
      <c r="K5">
        <v>102.49999999999999</v>
      </c>
      <c r="L5">
        <v>105.62435500515997</v>
      </c>
      <c r="M5">
        <v>522797.01421946299</v>
      </c>
      <c r="N5">
        <v>105.68377085756065</v>
      </c>
      <c r="O5">
        <f t="shared" si="0"/>
        <v>113.01395537656742</v>
      </c>
      <c r="P5">
        <f t="shared" si="1"/>
        <v>1.6491749878845052E-2</v>
      </c>
      <c r="Q5">
        <f t="shared" si="2"/>
        <v>1.8847468728113048E-2</v>
      </c>
    </row>
    <row r="6" spans="1:17" x14ac:dyDescent="0.45">
      <c r="A6">
        <v>2003</v>
      </c>
      <c r="B6">
        <v>289</v>
      </c>
      <c r="C6">
        <v>2076</v>
      </c>
      <c r="D6">
        <v>559.746747373978</v>
      </c>
      <c r="E6">
        <v>49295.779906211901</v>
      </c>
      <c r="F6">
        <v>10.1097458706484</v>
      </c>
      <c r="G6">
        <v>127.4</v>
      </c>
      <c r="H6">
        <v>133</v>
      </c>
      <c r="I6">
        <v>116.4</v>
      </c>
      <c r="J6">
        <v>-0.5</v>
      </c>
      <c r="K6">
        <v>103.21428571428572</v>
      </c>
      <c r="L6">
        <v>107.12074303405572</v>
      </c>
      <c r="M6">
        <v>521311.10771313799</v>
      </c>
      <c r="N6">
        <v>105.38339384992861</v>
      </c>
      <c r="O6">
        <f t="shared" si="0"/>
        <v>116.4163456178017</v>
      </c>
      <c r="P6">
        <f t="shared" si="1"/>
        <v>3.7471714941572642E-3</v>
      </c>
      <c r="Q6">
        <f t="shared" si="2"/>
        <v>1.1151059684289866E-2</v>
      </c>
    </row>
    <row r="7" spans="1:17" x14ac:dyDescent="0.45">
      <c r="A7">
        <v>2004</v>
      </c>
      <c r="B7">
        <v>289</v>
      </c>
      <c r="C7">
        <v>2095</v>
      </c>
      <c r="D7">
        <v>577.64079721063001</v>
      </c>
      <c r="E7">
        <v>51222.586513051203</v>
      </c>
      <c r="F7">
        <v>10.1983051102332</v>
      </c>
      <c r="G7">
        <v>134</v>
      </c>
      <c r="H7">
        <v>142.1</v>
      </c>
      <c r="I7">
        <v>117.9</v>
      </c>
      <c r="J7">
        <v>-0.4</v>
      </c>
      <c r="K7">
        <v>103.21428571428572</v>
      </c>
      <c r="L7">
        <v>108.10113519091846</v>
      </c>
      <c r="M7">
        <v>534797.05567569402</v>
      </c>
      <c r="N7">
        <v>108.10958737343152</v>
      </c>
      <c r="O7">
        <f t="shared" si="0"/>
        <v>120.13795704307373</v>
      </c>
      <c r="P7">
        <f t="shared" si="1"/>
        <v>5.5608247812193312E-3</v>
      </c>
      <c r="Q7">
        <f t="shared" si="2"/>
        <v>3.7877620958437497E-3</v>
      </c>
    </row>
    <row r="8" spans="1:17" x14ac:dyDescent="0.45">
      <c r="A8">
        <v>2005</v>
      </c>
      <c r="B8">
        <v>289</v>
      </c>
      <c r="C8">
        <v>2115</v>
      </c>
      <c r="D8">
        <v>585.43600086755896</v>
      </c>
      <c r="E8">
        <v>52247.458363105703</v>
      </c>
      <c r="F8">
        <v>10.0312234529262</v>
      </c>
      <c r="G8">
        <v>136.69999999999999</v>
      </c>
      <c r="H8">
        <v>145.6</v>
      </c>
      <c r="I8">
        <v>118.9</v>
      </c>
      <c r="J8">
        <v>-0.2</v>
      </c>
      <c r="K8">
        <v>103.21428571428572</v>
      </c>
      <c r="L8">
        <v>109.13312693498452</v>
      </c>
      <c r="M8">
        <v>550584.71877029398</v>
      </c>
      <c r="N8">
        <v>111.30107417133748</v>
      </c>
      <c r="O8">
        <f t="shared" si="0"/>
        <v>121.75920652302806</v>
      </c>
      <c r="P8">
        <f t="shared" si="1"/>
        <v>3.6680495236023347E-3</v>
      </c>
      <c r="Q8">
        <f t="shared" si="2"/>
        <v>-7.1740961845483397E-3</v>
      </c>
    </row>
    <row r="9" spans="1:17" x14ac:dyDescent="0.45">
      <c r="A9">
        <v>2006</v>
      </c>
      <c r="B9">
        <v>289</v>
      </c>
      <c r="C9">
        <v>2140</v>
      </c>
      <c r="D9">
        <v>589.09725018455504</v>
      </c>
      <c r="E9">
        <v>52905.175744968903</v>
      </c>
      <c r="F9">
        <v>9.5544729276578995</v>
      </c>
      <c r="G9">
        <v>141.69999999999999</v>
      </c>
      <c r="H9">
        <v>151.5</v>
      </c>
      <c r="I9">
        <v>122.4</v>
      </c>
      <c r="J9">
        <v>-0.3</v>
      </c>
      <c r="K9">
        <v>103.21428571428572</v>
      </c>
      <c r="L9">
        <v>110.42311661506707</v>
      </c>
      <c r="M9">
        <v>573347.66719402105</v>
      </c>
      <c r="N9">
        <v>115.90261962745933</v>
      </c>
      <c r="O9">
        <f t="shared" si="0"/>
        <v>122.5206745760002</v>
      </c>
      <c r="P9">
        <f t="shared" si="1"/>
        <v>1.2599563190851093E-2</v>
      </c>
      <c r="Q9">
        <f t="shared" si="2"/>
        <v>-2.1147170546480409E-2</v>
      </c>
    </row>
    <row r="10" spans="1:17" x14ac:dyDescent="0.45">
      <c r="A10">
        <v>2007</v>
      </c>
      <c r="B10">
        <v>292</v>
      </c>
      <c r="C10">
        <v>2175</v>
      </c>
      <c r="D10">
        <v>610.55885964372101</v>
      </c>
      <c r="E10">
        <v>55324.812951322703</v>
      </c>
      <c r="F10">
        <v>9.3916494829341506</v>
      </c>
      <c r="G10">
        <v>143.1</v>
      </c>
      <c r="H10">
        <v>153.30000000000001</v>
      </c>
      <c r="I10">
        <v>123</v>
      </c>
      <c r="J10">
        <v>0</v>
      </c>
      <c r="K10">
        <v>104.28571428571429</v>
      </c>
      <c r="L10">
        <v>112.22910216718267</v>
      </c>
      <c r="M10">
        <v>596185.21556237596</v>
      </c>
      <c r="N10">
        <v>120.51924551296314</v>
      </c>
      <c r="O10">
        <f t="shared" si="0"/>
        <v>126.98426843524824</v>
      </c>
      <c r="P10">
        <f t="shared" si="1"/>
        <v>2.1236936298554276E-3</v>
      </c>
      <c r="Q10">
        <f t="shared" si="2"/>
        <v>-7.4648588254756509E-3</v>
      </c>
    </row>
    <row r="11" spans="1:17" x14ac:dyDescent="0.45">
      <c r="A11">
        <v>2008</v>
      </c>
      <c r="B11">
        <v>290</v>
      </c>
      <c r="C11">
        <v>2219</v>
      </c>
      <c r="D11">
        <v>636.42535086293003</v>
      </c>
      <c r="E11">
        <v>58406.090941927898</v>
      </c>
      <c r="F11">
        <v>9.5060802628781005</v>
      </c>
      <c r="G11">
        <v>142.5</v>
      </c>
      <c r="H11">
        <v>151.69999999999999</v>
      </c>
      <c r="I11">
        <v>124.4</v>
      </c>
      <c r="J11">
        <v>0</v>
      </c>
      <c r="K11">
        <v>103.57142857142858</v>
      </c>
      <c r="L11">
        <v>114.49948400412796</v>
      </c>
      <c r="M11">
        <v>611278.21835853998</v>
      </c>
      <c r="N11">
        <v>123.57030626059154</v>
      </c>
      <c r="O11">
        <f t="shared" si="0"/>
        <v>132.36399131139274</v>
      </c>
      <c r="P11">
        <f t="shared" si="1"/>
        <v>4.9152689154019491E-3</v>
      </c>
      <c r="Q11">
        <f t="shared" si="2"/>
        <v>5.2596014831387539E-3</v>
      </c>
    </row>
    <row r="12" spans="1:17" x14ac:dyDescent="0.45">
      <c r="A12">
        <v>2009</v>
      </c>
      <c r="B12">
        <v>298</v>
      </c>
      <c r="C12">
        <v>2266</v>
      </c>
      <c r="D12">
        <v>656.36130342030003</v>
      </c>
      <c r="E12">
        <v>60993.012103518296</v>
      </c>
      <c r="F12">
        <v>10.1142719884374</v>
      </c>
      <c r="G12">
        <v>144.6</v>
      </c>
      <c r="H12">
        <v>153.69999999999999</v>
      </c>
      <c r="I12">
        <v>126.6</v>
      </c>
      <c r="J12">
        <v>-0.1</v>
      </c>
      <c r="K12">
        <v>106.42857142857143</v>
      </c>
      <c r="L12">
        <v>116.92466460268318</v>
      </c>
      <c r="M12">
        <v>599450.538071346</v>
      </c>
      <c r="N12">
        <v>121.17933267189468</v>
      </c>
      <c r="O12">
        <f t="shared" si="0"/>
        <v>136.51027845647599</v>
      </c>
      <c r="P12">
        <f t="shared" si="1"/>
        <v>7.6133253265364687E-3</v>
      </c>
      <c r="Q12">
        <f t="shared" si="2"/>
        <v>2.693315144322761E-2</v>
      </c>
    </row>
    <row r="13" spans="1:17" x14ac:dyDescent="0.45">
      <c r="A13">
        <v>2010</v>
      </c>
      <c r="B13">
        <v>298</v>
      </c>
      <c r="C13">
        <v>2284</v>
      </c>
      <c r="D13">
        <v>664.51213362353496</v>
      </c>
      <c r="E13">
        <v>62396.9637</v>
      </c>
      <c r="F13">
        <v>9.9907855889225008</v>
      </c>
      <c r="G13">
        <v>156.30000000000001</v>
      </c>
      <c r="H13">
        <v>167.1</v>
      </c>
      <c r="I13">
        <v>134.80000000000001</v>
      </c>
      <c r="J13">
        <v>-0.6</v>
      </c>
      <c r="K13">
        <v>106.42857142857143</v>
      </c>
      <c r="L13">
        <v>117.85345717234262</v>
      </c>
      <c r="M13">
        <v>618996.40692477801</v>
      </c>
      <c r="N13">
        <v>125.1305433118447</v>
      </c>
      <c r="O13">
        <f t="shared" si="0"/>
        <v>138.20549128346155</v>
      </c>
      <c r="P13">
        <f t="shared" si="1"/>
        <v>2.7256186517964576E-2</v>
      </c>
      <c r="Q13">
        <f t="shared" si="2"/>
        <v>-5.3349895762571098E-3</v>
      </c>
    </row>
    <row r="14" spans="1:17" x14ac:dyDescent="0.45">
      <c r="A14">
        <v>2011</v>
      </c>
      <c r="B14">
        <v>301</v>
      </c>
      <c r="C14">
        <v>2306</v>
      </c>
      <c r="D14">
        <v>676.518502987337</v>
      </c>
      <c r="E14">
        <v>64234.603799999997</v>
      </c>
      <c r="F14">
        <v>10.1039309594507</v>
      </c>
      <c r="G14">
        <v>165.3</v>
      </c>
      <c r="H14">
        <v>177.4</v>
      </c>
      <c r="I14">
        <v>141.30000000000001</v>
      </c>
      <c r="J14">
        <v>-0.4</v>
      </c>
      <c r="K14">
        <v>107.5</v>
      </c>
      <c r="L14">
        <v>118.98864809081526</v>
      </c>
      <c r="M14">
        <v>627709.77554362605</v>
      </c>
      <c r="N14">
        <v>126.89195668542077</v>
      </c>
      <c r="O14">
        <f t="shared" si="0"/>
        <v>140.70258064044089</v>
      </c>
      <c r="P14">
        <f t="shared" si="1"/>
        <v>2.0452269649257726E-2</v>
      </c>
      <c r="Q14">
        <f t="shared" si="2"/>
        <v>4.8907312779973289E-3</v>
      </c>
    </row>
    <row r="15" spans="1:17" x14ac:dyDescent="0.45">
      <c r="A15">
        <v>2012</v>
      </c>
      <c r="B15">
        <v>305</v>
      </c>
      <c r="C15">
        <v>2326</v>
      </c>
      <c r="D15">
        <v>693.204102209604</v>
      </c>
      <c r="E15">
        <v>66521.482199999999</v>
      </c>
      <c r="F15">
        <v>10.335110397685099</v>
      </c>
      <c r="G15">
        <v>168.5</v>
      </c>
      <c r="H15">
        <v>181.3</v>
      </c>
      <c r="I15">
        <v>142.69999999999999</v>
      </c>
      <c r="J15">
        <v>-0.2</v>
      </c>
      <c r="K15">
        <v>108.92857142857142</v>
      </c>
      <c r="L15">
        <v>120.02063983488131</v>
      </c>
      <c r="M15">
        <v>634766.08641963301</v>
      </c>
      <c r="N15">
        <v>128.31839471287014</v>
      </c>
      <c r="O15">
        <f t="shared" si="0"/>
        <v>144.17285803823299</v>
      </c>
      <c r="P15">
        <f t="shared" si="1"/>
        <v>4.2818112660882868E-3</v>
      </c>
      <c r="Q15">
        <f t="shared" si="2"/>
        <v>9.82475003270733E-3</v>
      </c>
    </row>
    <row r="16" spans="1:17" x14ac:dyDescent="0.45">
      <c r="A16">
        <v>2013</v>
      </c>
      <c r="B16">
        <v>308</v>
      </c>
      <c r="C16">
        <v>2343</v>
      </c>
      <c r="D16">
        <v>714.44260643006703</v>
      </c>
      <c r="E16">
        <v>69352.476999999999</v>
      </c>
      <c r="F16">
        <v>10.5944455755102</v>
      </c>
      <c r="G16">
        <v>170.4</v>
      </c>
      <c r="H16">
        <v>183.1</v>
      </c>
      <c r="I16">
        <v>144.9</v>
      </c>
      <c r="J16">
        <v>-0.1</v>
      </c>
      <c r="K16">
        <v>110.00000000000001</v>
      </c>
      <c r="L16">
        <v>120.89783281733746</v>
      </c>
      <c r="M16">
        <v>646421.178282368</v>
      </c>
      <c r="N16">
        <v>130.67447943455534</v>
      </c>
      <c r="O16">
        <f t="shared" si="0"/>
        <v>148.59005038340374</v>
      </c>
      <c r="P16">
        <f t="shared" si="1"/>
        <v>6.6444123565276847E-3</v>
      </c>
      <c r="Q16">
        <f t="shared" si="2"/>
        <v>1.076311426889065E-2</v>
      </c>
    </row>
    <row r="17" spans="1:17" x14ac:dyDescent="0.45">
      <c r="A17">
        <v>2014</v>
      </c>
      <c r="B17">
        <v>311</v>
      </c>
      <c r="C17">
        <v>2361</v>
      </c>
      <c r="D17">
        <v>723.11033479252796</v>
      </c>
      <c r="E17">
        <v>71055.556299999997</v>
      </c>
      <c r="F17">
        <v>10.6751194116164</v>
      </c>
      <c r="G17">
        <v>169</v>
      </c>
      <c r="H17">
        <v>187.4</v>
      </c>
      <c r="I17">
        <v>129.9</v>
      </c>
      <c r="J17">
        <v>0.1</v>
      </c>
      <c r="K17">
        <v>111.07142857142858</v>
      </c>
      <c r="L17">
        <v>121.82662538699691</v>
      </c>
      <c r="M17">
        <v>662862.40631210397</v>
      </c>
      <c r="N17">
        <v>133.99808482718694</v>
      </c>
      <c r="O17">
        <f t="shared" si="0"/>
        <v>150.39276789002517</v>
      </c>
      <c r="P17">
        <f t="shared" si="1"/>
        <v>-4.7459234398147032E-2</v>
      </c>
      <c r="Q17">
        <f t="shared" si="2"/>
        <v>3.2945074232559879E-3</v>
      </c>
    </row>
    <row r="18" spans="1:17" x14ac:dyDescent="0.45">
      <c r="A18">
        <v>2015</v>
      </c>
      <c r="B18">
        <v>315</v>
      </c>
      <c r="C18">
        <v>2370</v>
      </c>
      <c r="D18">
        <v>737.97051501361</v>
      </c>
      <c r="E18">
        <v>73345.968500000003</v>
      </c>
      <c r="F18">
        <v>10.9798305090147</v>
      </c>
      <c r="G18">
        <v>173.3</v>
      </c>
      <c r="H18">
        <v>194.6</v>
      </c>
      <c r="I18">
        <v>127.8</v>
      </c>
      <c r="J18">
        <v>-0.2</v>
      </c>
      <c r="K18">
        <v>112.5</v>
      </c>
      <c r="L18">
        <v>122.29102167182661</v>
      </c>
      <c r="M18">
        <v>672503.76154870098</v>
      </c>
      <c r="N18">
        <v>135.94709132467457</v>
      </c>
      <c r="O18">
        <f t="shared" si="0"/>
        <v>153.48339393595819</v>
      </c>
      <c r="P18">
        <f t="shared" si="1"/>
        <v>-7.0782972506462372E-3</v>
      </c>
      <c r="Q18">
        <f t="shared" si="2"/>
        <v>1.2222894414801955E-2</v>
      </c>
    </row>
    <row r="19" spans="1:17" x14ac:dyDescent="0.45">
      <c r="A19">
        <v>2016</v>
      </c>
      <c r="B19">
        <v>319</v>
      </c>
      <c r="C19">
        <v>2386</v>
      </c>
      <c r="D19">
        <v>755.73084274554901</v>
      </c>
      <c r="E19">
        <v>75935.877399999998</v>
      </c>
      <c r="F19">
        <v>11.202487927763899</v>
      </c>
      <c r="G19">
        <v>178.5</v>
      </c>
      <c r="H19">
        <v>204</v>
      </c>
      <c r="I19">
        <v>124.1</v>
      </c>
      <c r="J19">
        <v>-0.2</v>
      </c>
      <c r="K19">
        <v>113.92857142857142</v>
      </c>
      <c r="L19">
        <v>123.11661506707947</v>
      </c>
      <c r="M19">
        <v>685359.28335051099</v>
      </c>
      <c r="N19">
        <v>138.5458437723818</v>
      </c>
      <c r="O19">
        <f t="shared" si="0"/>
        <v>157.1771937860276</v>
      </c>
      <c r="P19">
        <f t="shared" si="1"/>
        <v>-1.2759072323651477E-2</v>
      </c>
      <c r="Q19">
        <f t="shared" si="2"/>
        <v>8.7188484265796617E-3</v>
      </c>
    </row>
    <row r="20" spans="1:17" x14ac:dyDescent="0.45">
      <c r="A20">
        <v>2017</v>
      </c>
      <c r="B20">
        <v>318</v>
      </c>
      <c r="C20">
        <v>2395</v>
      </c>
      <c r="D20">
        <v>767.74784445359398</v>
      </c>
      <c r="E20">
        <v>77866.583299999998</v>
      </c>
      <c r="F20">
        <v>11.3747162586182</v>
      </c>
      <c r="G20">
        <v>185.3</v>
      </c>
      <c r="H20">
        <v>213.9</v>
      </c>
      <c r="I20">
        <v>124.6</v>
      </c>
      <c r="J20">
        <v>-0.3</v>
      </c>
      <c r="K20">
        <v>113.57142857142857</v>
      </c>
      <c r="L20">
        <v>123.58101135190918</v>
      </c>
      <c r="M20">
        <v>695093.75738472794</v>
      </c>
      <c r="N20">
        <v>140.51367429793868</v>
      </c>
      <c r="O20">
        <f t="shared" si="0"/>
        <v>159.67649446208637</v>
      </c>
      <c r="P20">
        <f t="shared" si="1"/>
        <v>1.7462608244209754E-3</v>
      </c>
      <c r="Q20">
        <f t="shared" si="2"/>
        <v>6.6260874506309797E-3</v>
      </c>
    </row>
    <row r="21" spans="1:17" x14ac:dyDescent="0.45">
      <c r="A21">
        <v>2018</v>
      </c>
      <c r="B21">
        <v>317</v>
      </c>
      <c r="C21">
        <v>2407</v>
      </c>
      <c r="D21">
        <v>774.88634502024104</v>
      </c>
      <c r="E21">
        <v>79171.642699999997</v>
      </c>
      <c r="F21">
        <v>11.1584548735973</v>
      </c>
      <c r="G21">
        <v>192.83425255256284</v>
      </c>
      <c r="H21">
        <v>221.8</v>
      </c>
      <c r="I21">
        <v>131.1</v>
      </c>
      <c r="J21">
        <v>-0.29999999999999982</v>
      </c>
      <c r="K21">
        <v>113.21428571428571</v>
      </c>
      <c r="L21">
        <v>124.20020639834881</v>
      </c>
      <c r="M21">
        <v>718222.53303125699</v>
      </c>
      <c r="N21">
        <v>145.18917197516453</v>
      </c>
      <c r="O21">
        <f t="shared" si="0"/>
        <v>161.16116257862018</v>
      </c>
      <c r="P21">
        <f>LOG(I21)-LOG(I20)</f>
        <v>2.2084649366933107E-2</v>
      </c>
      <c r="Q21">
        <f t="shared" si="2"/>
        <v>-8.3365106053410187E-3</v>
      </c>
    </row>
    <row r="22" spans="1:17" x14ac:dyDescent="0.45">
      <c r="A22">
        <v>2019</v>
      </c>
      <c r="B22">
        <v>319</v>
      </c>
      <c r="C22">
        <v>2429</v>
      </c>
      <c r="D22">
        <v>793.81385311422298</v>
      </c>
      <c r="E22">
        <v>81686.112699999998</v>
      </c>
      <c r="F22">
        <v>11.394692749738599</v>
      </c>
      <c r="G22">
        <v>194.4</v>
      </c>
      <c r="H22">
        <v>224.2</v>
      </c>
      <c r="I22">
        <v>131.1</v>
      </c>
      <c r="J22">
        <v>0</v>
      </c>
      <c r="K22">
        <v>113.92857142857142</v>
      </c>
      <c r="L22">
        <v>125.33539731682146</v>
      </c>
      <c r="M22">
        <v>726233.02622593602</v>
      </c>
      <c r="N22">
        <v>146.80849860522659</v>
      </c>
      <c r="O22">
        <f t="shared" si="0"/>
        <v>165.09771305308067</v>
      </c>
      <c r="P22">
        <f t="shared" si="1"/>
        <v>0</v>
      </c>
      <c r="Q22">
        <f t="shared" si="2"/>
        <v>9.0985577963027531E-3</v>
      </c>
    </row>
    <row r="23" spans="1:17" x14ac:dyDescent="0.45">
      <c r="A23">
        <v>2020</v>
      </c>
      <c r="B23">
        <v>324</v>
      </c>
      <c r="C23">
        <v>2449</v>
      </c>
      <c r="D23">
        <v>805.745927101544</v>
      </c>
      <c r="E23">
        <v>83522.009699999995</v>
      </c>
      <c r="F23">
        <v>11.9896090630887</v>
      </c>
      <c r="G23">
        <v>194.8</v>
      </c>
      <c r="H23">
        <v>224.8</v>
      </c>
      <c r="I23">
        <v>131.19999999999999</v>
      </c>
      <c r="J23">
        <v>0</v>
      </c>
      <c r="K23">
        <v>115.71428571428572</v>
      </c>
      <c r="L23">
        <v>126.36738906088752</v>
      </c>
      <c r="M23">
        <v>709854.59789991495</v>
      </c>
      <c r="N23">
        <v>143.49758821527635</v>
      </c>
      <c r="O23">
        <f t="shared" si="0"/>
        <v>167.57935042884387</v>
      </c>
      <c r="P23">
        <f t="shared" si="1"/>
        <v>3.3114334955719471E-4</v>
      </c>
      <c r="Q23">
        <f t="shared" si="2"/>
        <v>2.2102403374825164E-2</v>
      </c>
    </row>
    <row r="24" spans="1:17" x14ac:dyDescent="0.45">
      <c r="A24">
        <v>2021</v>
      </c>
      <c r="B24">
        <v>321</v>
      </c>
      <c r="C24">
        <v>2445</v>
      </c>
      <c r="D24">
        <v>852.99550390080697</v>
      </c>
      <c r="E24">
        <v>89099.258100000006</v>
      </c>
      <c r="F24">
        <v>11.958555935721201</v>
      </c>
      <c r="G24">
        <v>195.3</v>
      </c>
      <c r="H24">
        <v>225.7</v>
      </c>
      <c r="I24">
        <v>130.80000000000001</v>
      </c>
      <c r="J24">
        <v>0</v>
      </c>
      <c r="K24">
        <v>114.64285714285714</v>
      </c>
      <c r="L24">
        <v>126.16099071207429</v>
      </c>
      <c r="M24">
        <v>753696.83907210804</v>
      </c>
      <c r="N24">
        <v>152.36032699132244</v>
      </c>
      <c r="O24">
        <f t="shared" si="0"/>
        <v>177.40633573740303</v>
      </c>
      <c r="P24">
        <f>LOG(I24)-LOG(I23)</f>
        <v>-1.3260910513928081E-3</v>
      </c>
      <c r="Q24">
        <f t="shared" si="2"/>
        <v>-1.1262833223926183E-3</v>
      </c>
    </row>
    <row r="25" spans="1:17" x14ac:dyDescent="0.45">
      <c r="A25">
        <v>2022</v>
      </c>
      <c r="B25">
        <v>315</v>
      </c>
      <c r="C25">
        <v>2468</v>
      </c>
      <c r="D25">
        <v>871.19961749652396</v>
      </c>
      <c r="E25">
        <v>91759.148499999996</v>
      </c>
      <c r="F25">
        <v>11.599118623235</v>
      </c>
      <c r="G25">
        <v>194.4</v>
      </c>
      <c r="H25">
        <v>224.6</v>
      </c>
      <c r="I25">
        <v>130.30000000000001</v>
      </c>
      <c r="J25">
        <v>0</v>
      </c>
      <c r="K25">
        <v>112.5</v>
      </c>
      <c r="L25">
        <v>127.34778121775025</v>
      </c>
      <c r="M25">
        <v>780334.76842328196</v>
      </c>
      <c r="N25">
        <v>157.7452024689922</v>
      </c>
      <c r="O25">
        <f t="shared" si="0"/>
        <v>181.19243434354425</v>
      </c>
      <c r="P25">
        <f t="shared" si="1"/>
        <v>-1.6633282756637335E-3</v>
      </c>
      <c r="Q25">
        <f t="shared" si="2"/>
        <v>-1.3253749316398222E-2</v>
      </c>
    </row>
    <row r="26" spans="1:17" x14ac:dyDescent="0.45">
      <c r="A26">
        <v>2023</v>
      </c>
      <c r="B26">
        <v>314</v>
      </c>
      <c r="C26">
        <v>2510</v>
      </c>
      <c r="D26">
        <v>880.80922763495698</v>
      </c>
      <c r="E26">
        <v>93952.271999999997</v>
      </c>
      <c r="F26">
        <v>11.6909605770346</v>
      </c>
      <c r="G26">
        <v>202</v>
      </c>
      <c r="H26">
        <v>236.7</v>
      </c>
      <c r="I26">
        <v>129.6</v>
      </c>
      <c r="J26">
        <v>-0.4</v>
      </c>
      <c r="K26">
        <v>112.14285714285714</v>
      </c>
      <c r="L26">
        <v>129.51496388028895</v>
      </c>
      <c r="M26">
        <v>786776.90694842604</v>
      </c>
      <c r="N26">
        <v>159.04748513933313</v>
      </c>
      <c r="O26">
        <f t="shared" si="0"/>
        <v>183.19104478724321</v>
      </c>
      <c r="P26">
        <f t="shared" si="1"/>
        <v>-2.3394141780102018E-3</v>
      </c>
      <c r="Q26">
        <f t="shared" si="2"/>
        <v>3.4252060846016175E-3</v>
      </c>
    </row>
    <row r="27" spans="1:17" x14ac:dyDescent="0.45">
      <c r="A27">
        <v>2024</v>
      </c>
      <c r="B27">
        <v>316</v>
      </c>
      <c r="C27">
        <v>2555</v>
      </c>
      <c r="D27">
        <v>898.57945374721101</v>
      </c>
      <c r="E27">
        <v>97076.374305067206</v>
      </c>
      <c r="F27">
        <v>11.7726930091663</v>
      </c>
      <c r="G27">
        <v>213.9</v>
      </c>
      <c r="H27">
        <v>255.9</v>
      </c>
      <c r="I27">
        <v>128.1</v>
      </c>
      <c r="J27">
        <v>-0.5</v>
      </c>
      <c r="K27">
        <v>112.85714285714286</v>
      </c>
      <c r="L27">
        <v>131.83694530443756</v>
      </c>
      <c r="M27">
        <v>797715.73105106899</v>
      </c>
      <c r="N27">
        <v>161.25877584771806</v>
      </c>
      <c r="O27">
        <f t="shared" si="0"/>
        <v>186.88690330628964</v>
      </c>
      <c r="P27">
        <f t="shared" si="1"/>
        <v>-5.055871789888311E-3</v>
      </c>
      <c r="Q27">
        <f t="shared" si="2"/>
        <v>3.0256232436358665E-3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049D-37F4-4D9E-9C38-60142F3936A5}">
  <dimension ref="A1:K10"/>
  <sheetViews>
    <sheetView workbookViewId="0">
      <selection activeCell="K23" sqref="K23"/>
    </sheetView>
  </sheetViews>
  <sheetFormatPr baseColWidth="10" defaultRowHeight="14.25" x14ac:dyDescent="0.45"/>
  <sheetData>
    <row r="1" spans="1:11" x14ac:dyDescent="0.45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</row>
    <row r="2" spans="1:11" x14ac:dyDescent="0.45">
      <c r="A2" s="3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45">
      <c r="A3" s="3" t="s">
        <v>26</v>
      </c>
      <c r="B3" s="3"/>
      <c r="C3" s="3"/>
      <c r="D3" s="3"/>
      <c r="E3" s="3"/>
      <c r="F3" s="3"/>
      <c r="G3" s="3"/>
      <c r="H3" s="3"/>
      <c r="I3" s="3"/>
      <c r="J3" s="3"/>
    </row>
    <row r="4" spans="1:11" x14ac:dyDescent="0.45">
      <c r="A4" t="s">
        <v>17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19</v>
      </c>
    </row>
    <row r="5" spans="1:11" x14ac:dyDescent="0.45">
      <c r="A5" t="s">
        <v>18</v>
      </c>
      <c r="B5" s="1">
        <v>11.766</v>
      </c>
      <c r="C5" s="1">
        <v>7.5919999999999996</v>
      </c>
      <c r="D5" s="1">
        <v>6.423</v>
      </c>
      <c r="E5" s="1">
        <v>5.173</v>
      </c>
      <c r="F5" s="1">
        <v>3.3969999999999998</v>
      </c>
      <c r="G5">
        <v>5.4870000000000001</v>
      </c>
    </row>
    <row r="6" spans="1:11" x14ac:dyDescent="0.45">
      <c r="A6" t="s">
        <v>20</v>
      </c>
      <c r="B6" s="1">
        <v>11.83</v>
      </c>
      <c r="C6" s="1">
        <v>7.7430000000000003</v>
      </c>
      <c r="D6" s="1">
        <v>6.2759999999999998</v>
      </c>
      <c r="E6" s="1">
        <v>5.157</v>
      </c>
      <c r="F6" s="1">
        <v>3.4470000000000001</v>
      </c>
      <c r="G6">
        <v>5.5069999999999997</v>
      </c>
    </row>
    <row r="7" spans="1:11" x14ac:dyDescent="0.45">
      <c r="A7" t="s">
        <v>21</v>
      </c>
      <c r="B7" s="1">
        <v>12.285</v>
      </c>
      <c r="C7" s="1">
        <v>8.1940000000000008</v>
      </c>
      <c r="D7" s="1">
        <v>6.71</v>
      </c>
      <c r="E7" s="1">
        <v>5.3070000000000004</v>
      </c>
      <c r="F7" s="1">
        <v>3.4609999999999999</v>
      </c>
      <c r="G7">
        <v>5.6470000000000002</v>
      </c>
    </row>
    <row r="8" spans="1:11" x14ac:dyDescent="0.45">
      <c r="A8" t="s">
        <v>22</v>
      </c>
      <c r="B8" s="1">
        <v>14.901999999999999</v>
      </c>
      <c r="C8" s="1">
        <v>9.2789999999999999</v>
      </c>
      <c r="D8" s="1">
        <v>7.7220000000000004</v>
      </c>
      <c r="E8" s="1">
        <v>6.23</v>
      </c>
      <c r="F8" s="1">
        <v>4.0309999999999997</v>
      </c>
      <c r="G8">
        <v>6.5339999999999998</v>
      </c>
    </row>
    <row r="9" spans="1:11" x14ac:dyDescent="0.45">
      <c r="A9" t="s">
        <v>23</v>
      </c>
      <c r="B9" s="1">
        <v>14.319000000000001</v>
      </c>
      <c r="C9" s="1">
        <v>9.8670000000000009</v>
      </c>
      <c r="D9" s="1">
        <v>8.0210000000000008</v>
      </c>
      <c r="E9" s="1">
        <v>6.7990000000000004</v>
      </c>
      <c r="F9" s="1">
        <v>4.38</v>
      </c>
      <c r="G9">
        <v>6.8739999999999997</v>
      </c>
    </row>
    <row r="10" spans="1:11" x14ac:dyDescent="0.45">
      <c r="A10" t="s">
        <v>24</v>
      </c>
      <c r="B10" s="1">
        <v>16.431999999999999</v>
      </c>
      <c r="C10" s="1">
        <v>9.7750000000000004</v>
      </c>
      <c r="D10" s="1">
        <v>7.9960000000000004</v>
      </c>
      <c r="E10" s="1">
        <v>6.6079999999999997</v>
      </c>
      <c r="F10" s="1">
        <v>4.0860000000000003</v>
      </c>
      <c r="G10">
        <v>6.8390000000000004</v>
      </c>
    </row>
  </sheetData>
  <mergeCells count="3">
    <mergeCell ref="A1:J1"/>
    <mergeCell ref="A2:K2"/>
    <mergeCell ref="A3:J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8738-45AB-4236-AAFB-A846B99E2A26}">
  <dimension ref="A1:H29"/>
  <sheetViews>
    <sheetView tabSelected="1" workbookViewId="0">
      <selection activeCell="B1" sqref="B1"/>
    </sheetView>
  </sheetViews>
  <sheetFormatPr baseColWidth="10" defaultRowHeight="14.25" x14ac:dyDescent="0.45"/>
  <cols>
    <col min="2" max="2" width="54.1328125" customWidth="1"/>
    <col min="3" max="3" width="21.46484375" customWidth="1"/>
    <col min="4" max="4" width="29.73046875" customWidth="1"/>
    <col min="5" max="5" width="22.46484375" customWidth="1"/>
    <col min="6" max="6" width="33.86328125" customWidth="1"/>
    <col min="7" max="7" width="32.6640625" customWidth="1"/>
  </cols>
  <sheetData>
    <row r="1" spans="1:8" x14ac:dyDescent="0.45">
      <c r="A1" t="s">
        <v>17</v>
      </c>
      <c r="B1" t="s">
        <v>40</v>
      </c>
      <c r="C1" t="s">
        <v>37</v>
      </c>
      <c r="D1" t="s">
        <v>34</v>
      </c>
      <c r="E1" t="s">
        <v>35</v>
      </c>
      <c r="F1" t="s">
        <v>36</v>
      </c>
      <c r="G1" t="s">
        <v>38</v>
      </c>
      <c r="H1" t="s">
        <v>39</v>
      </c>
    </row>
    <row r="2" spans="1:8" x14ac:dyDescent="0.45">
      <c r="A2">
        <v>1996</v>
      </c>
      <c r="B2">
        <v>1939.5244786551</v>
      </c>
      <c r="C2" s="2">
        <v>0.23</v>
      </c>
      <c r="D2">
        <v>1651697</v>
      </c>
      <c r="E2">
        <v>756457</v>
      </c>
      <c r="F2">
        <v>1538.9</v>
      </c>
      <c r="G2">
        <v>100</v>
      </c>
      <c r="H2">
        <v>100</v>
      </c>
    </row>
    <row r="3" spans="1:8" x14ac:dyDescent="0.45">
      <c r="A3">
        <v>1997</v>
      </c>
      <c r="B3">
        <v>2016.5343367646201</v>
      </c>
      <c r="C3" s="2">
        <v>0.27200000000000002</v>
      </c>
      <c r="D3">
        <v>1955994</v>
      </c>
      <c r="E3">
        <v>988940</v>
      </c>
      <c r="F3">
        <v>1663.9</v>
      </c>
      <c r="G3">
        <v>108.1226850347651</v>
      </c>
      <c r="H3">
        <v>103.97055355356588</v>
      </c>
    </row>
    <row r="4" spans="1:8" x14ac:dyDescent="0.45">
      <c r="A4">
        <v>1998</v>
      </c>
      <c r="B4">
        <v>2075.82951268125</v>
      </c>
      <c r="C4" s="2">
        <v>0.311</v>
      </c>
      <c r="D4">
        <v>2240522</v>
      </c>
      <c r="E4">
        <v>1178551</v>
      </c>
      <c r="F4">
        <v>1753.7</v>
      </c>
      <c r="G4">
        <v>113.95802196374034</v>
      </c>
      <c r="H4">
        <v>107.0277552836387</v>
      </c>
    </row>
    <row r="5" spans="1:8" x14ac:dyDescent="0.45">
      <c r="A5">
        <v>1999</v>
      </c>
      <c r="B5">
        <v>2186.56535456755</v>
      </c>
      <c r="C5" s="2">
        <v>0.32200000000000001</v>
      </c>
      <c r="D5">
        <v>2334267</v>
      </c>
      <c r="E5">
        <v>1230090</v>
      </c>
      <c r="F5">
        <v>1792.7</v>
      </c>
      <c r="G5">
        <v>116.49229969458703</v>
      </c>
      <c r="H5">
        <v>112.73718783295546</v>
      </c>
    </row>
    <row r="6" spans="1:8" x14ac:dyDescent="0.45">
      <c r="A6">
        <v>2000</v>
      </c>
      <c r="B6">
        <v>2048.2309409790801</v>
      </c>
      <c r="C6" s="2">
        <v>0.32177297173491998</v>
      </c>
      <c r="D6">
        <v>2337717</v>
      </c>
      <c r="E6">
        <v>1242695</v>
      </c>
      <c r="F6">
        <v>1850.2</v>
      </c>
      <c r="G6">
        <v>120.22873481057898</v>
      </c>
      <c r="H6">
        <v>105.60479970839857</v>
      </c>
    </row>
    <row r="7" spans="1:8" x14ac:dyDescent="0.45">
      <c r="A7">
        <v>2001</v>
      </c>
      <c r="B7">
        <v>2094.0262880208202</v>
      </c>
      <c r="C7" s="2">
        <v>0.32600000000000001</v>
      </c>
      <c r="D7">
        <v>2376421</v>
      </c>
      <c r="E7">
        <v>1268943</v>
      </c>
      <c r="F7">
        <v>1917.2</v>
      </c>
      <c r="G7">
        <v>124.58249398921306</v>
      </c>
      <c r="H7">
        <v>107.96596336195017</v>
      </c>
    </row>
    <row r="8" spans="1:8" x14ac:dyDescent="0.45">
      <c r="A8">
        <v>2002</v>
      </c>
      <c r="B8">
        <v>2242.8949786917201</v>
      </c>
      <c r="C8" s="2">
        <v>0.33200000000000002</v>
      </c>
      <c r="D8">
        <v>2433822</v>
      </c>
      <c r="E8">
        <v>1289405</v>
      </c>
      <c r="F8">
        <v>2090.6999999999998</v>
      </c>
      <c r="G8">
        <v>135.85678081746698</v>
      </c>
      <c r="H8">
        <v>115.64148859038801</v>
      </c>
    </row>
    <row r="9" spans="1:8" x14ac:dyDescent="0.45">
      <c r="A9">
        <v>2003</v>
      </c>
      <c r="B9">
        <v>2381.2204626807302</v>
      </c>
      <c r="C9" s="2">
        <v>0.32926640809331398</v>
      </c>
      <c r="D9">
        <v>2427518.2400000002</v>
      </c>
      <c r="E9">
        <v>1287365.05</v>
      </c>
      <c r="F9">
        <v>2281.5</v>
      </c>
      <c r="G9">
        <v>148.25524725453246</v>
      </c>
      <c r="H9">
        <v>122.77341631346204</v>
      </c>
    </row>
    <row r="10" spans="1:8" x14ac:dyDescent="0.45">
      <c r="A10">
        <v>2004</v>
      </c>
      <c r="B10">
        <v>2544.2359787298101</v>
      </c>
      <c r="C10" s="2">
        <v>0.31900000000000001</v>
      </c>
      <c r="D10">
        <v>2361377</v>
      </c>
      <c r="E10">
        <v>1245875</v>
      </c>
      <c r="F10">
        <v>2441.9</v>
      </c>
      <c r="G10">
        <v>158.67827669114303</v>
      </c>
      <c r="H10">
        <v>131.17833813028375</v>
      </c>
    </row>
    <row r="11" spans="1:8" x14ac:dyDescent="0.45">
      <c r="A11">
        <v>2005</v>
      </c>
      <c r="B11">
        <v>2633.0518524427398</v>
      </c>
      <c r="C11" s="2">
        <v>0.30399999999999999</v>
      </c>
      <c r="D11">
        <v>2262160</v>
      </c>
      <c r="E11">
        <v>1215989</v>
      </c>
      <c r="F11">
        <v>2487.5</v>
      </c>
      <c r="G11">
        <v>161.64143219182532</v>
      </c>
      <c r="H11">
        <v>135.75759839177402</v>
      </c>
    </row>
    <row r="12" spans="1:8" x14ac:dyDescent="0.45">
      <c r="A12">
        <v>2006</v>
      </c>
      <c r="B12">
        <v>2797.67399496903</v>
      </c>
      <c r="C12" s="2">
        <v>0.29129080881841002</v>
      </c>
      <c r="D12">
        <v>2178397</v>
      </c>
      <c r="E12">
        <v>1182675</v>
      </c>
      <c r="F12">
        <v>2582.6999999999998</v>
      </c>
      <c r="G12">
        <v>167.82766911430241</v>
      </c>
      <c r="H12">
        <v>144.2453563106863</v>
      </c>
    </row>
    <row r="13" spans="1:8" x14ac:dyDescent="0.45">
      <c r="A13">
        <v>2007</v>
      </c>
      <c r="B13">
        <v>2791.2678099876298</v>
      </c>
      <c r="C13" s="2">
        <v>0.30161607339582402</v>
      </c>
      <c r="D13">
        <v>2271950</v>
      </c>
      <c r="E13">
        <v>1225436</v>
      </c>
      <c r="F13">
        <v>2612.1</v>
      </c>
      <c r="G13">
        <v>169.73812463447914</v>
      </c>
      <c r="H13">
        <v>143.91505962962341</v>
      </c>
    </row>
    <row r="14" spans="1:8" x14ac:dyDescent="0.45">
      <c r="A14">
        <v>2008</v>
      </c>
      <c r="B14">
        <v>2804.6035641015301</v>
      </c>
      <c r="C14" s="2">
        <v>0.29579460935900997</v>
      </c>
      <c r="D14">
        <v>2249481</v>
      </c>
      <c r="E14">
        <v>1211669.9745008899</v>
      </c>
      <c r="F14">
        <v>2585.8000000000002</v>
      </c>
      <c r="G14">
        <v>168.0291117031646</v>
      </c>
      <c r="H14">
        <v>144.60263817068662</v>
      </c>
    </row>
    <row r="15" spans="1:8" x14ac:dyDescent="0.45">
      <c r="A15">
        <v>2009</v>
      </c>
      <c r="B15">
        <v>2881.37483489749</v>
      </c>
      <c r="C15" s="2">
        <v>0.29250672209346601</v>
      </c>
      <c r="D15">
        <v>2254890</v>
      </c>
      <c r="E15">
        <v>1229418</v>
      </c>
      <c r="F15">
        <v>2610.6</v>
      </c>
      <c r="G15">
        <v>169.64065241406198</v>
      </c>
      <c r="H15">
        <v>148.56089039389107</v>
      </c>
    </row>
    <row r="16" spans="1:8" x14ac:dyDescent="0.45">
      <c r="A16">
        <v>2010</v>
      </c>
      <c r="B16">
        <v>3132.27450749729</v>
      </c>
      <c r="C16" s="2">
        <v>0.29760312239746101</v>
      </c>
      <c r="D16">
        <v>2315252</v>
      </c>
      <c r="E16">
        <v>1270592</v>
      </c>
      <c r="F16">
        <v>2834.5</v>
      </c>
      <c r="G16">
        <v>184.19000584833321</v>
      </c>
      <c r="H16">
        <v>161.4970340394602</v>
      </c>
    </row>
    <row r="17" spans="1:8" x14ac:dyDescent="0.45">
      <c r="A17">
        <v>2011</v>
      </c>
      <c r="B17">
        <v>3193.95764656032</v>
      </c>
      <c r="C17" s="2">
        <v>0.289171993173439</v>
      </c>
      <c r="D17">
        <v>2273693</v>
      </c>
      <c r="E17">
        <v>1274390</v>
      </c>
      <c r="F17">
        <v>3005.4</v>
      </c>
      <c r="G17">
        <v>195.29534082786407</v>
      </c>
      <c r="H17">
        <v>164.67735683207596</v>
      </c>
    </row>
    <row r="18" spans="1:8" x14ac:dyDescent="0.45">
      <c r="A18">
        <v>2012</v>
      </c>
      <c r="B18">
        <v>3165.8711063220499</v>
      </c>
      <c r="C18" s="2">
        <v>0.290193541595889</v>
      </c>
      <c r="D18">
        <v>2308013.1255999999</v>
      </c>
      <c r="E18">
        <v>1317820.2429706501</v>
      </c>
      <c r="F18">
        <v>3075.2</v>
      </c>
      <c r="G18">
        <v>199.83104815127686</v>
      </c>
      <c r="H18">
        <v>163.2292420726404</v>
      </c>
    </row>
    <row r="19" spans="1:8" x14ac:dyDescent="0.45">
      <c r="A19">
        <v>2013</v>
      </c>
      <c r="B19">
        <v>3187.5194430697302</v>
      </c>
      <c r="C19" s="2">
        <v>0.28005209174053602</v>
      </c>
      <c r="D19">
        <v>2253279</v>
      </c>
      <c r="E19">
        <v>1307345</v>
      </c>
      <c r="F19">
        <v>3105.2131200339913</v>
      </c>
      <c r="G19">
        <v>201.78134511885054</v>
      </c>
      <c r="H19">
        <v>164.34540930775009</v>
      </c>
    </row>
    <row r="20" spans="1:8" x14ac:dyDescent="0.45">
      <c r="A20">
        <v>2014</v>
      </c>
      <c r="B20">
        <v>3253.7042597637401</v>
      </c>
      <c r="C20" s="2">
        <v>0.26864722758837101</v>
      </c>
      <c r="D20">
        <v>2191164</v>
      </c>
      <c r="E20">
        <v>1285045.09537876</v>
      </c>
      <c r="F20">
        <v>3172.4254496079743</v>
      </c>
      <c r="G20">
        <v>206.14890178750889</v>
      </c>
      <c r="H20">
        <v>167.75783423057982</v>
      </c>
    </row>
    <row r="21" spans="1:8" x14ac:dyDescent="0.45">
      <c r="A21">
        <v>2015</v>
      </c>
      <c r="B21">
        <v>3214.3807593094598</v>
      </c>
      <c r="C21" s="2">
        <v>0.26948753288994298</v>
      </c>
      <c r="D21">
        <v>2222034.23149388</v>
      </c>
      <c r="E21">
        <v>1341923.3549569</v>
      </c>
      <c r="F21">
        <v>3288.9239176799479</v>
      </c>
      <c r="G21">
        <v>213.71914469295911</v>
      </c>
      <c r="H21">
        <v>165.73035270678139</v>
      </c>
    </row>
    <row r="22" spans="1:8" x14ac:dyDescent="0.45">
      <c r="A22">
        <v>2016</v>
      </c>
      <c r="B22">
        <v>3275.6984648533198</v>
      </c>
      <c r="C22" s="2">
        <v>0.27341481536246298</v>
      </c>
      <c r="D22">
        <v>2278684</v>
      </c>
      <c r="E22">
        <v>1376090</v>
      </c>
      <c r="F22">
        <v>3441.9519080398636</v>
      </c>
      <c r="G22">
        <v>223.66313003053241</v>
      </c>
      <c r="H22">
        <v>168.89183410176634</v>
      </c>
    </row>
    <row r="23" spans="1:8" x14ac:dyDescent="0.45">
      <c r="A23">
        <v>2017</v>
      </c>
      <c r="B23">
        <v>3471.8424655563199</v>
      </c>
      <c r="C23" s="2">
        <v>0.26400000000000001</v>
      </c>
      <c r="D23">
        <v>2217239</v>
      </c>
      <c r="E23">
        <v>1350642.8119999999</v>
      </c>
      <c r="F23">
        <v>3604.655778256471</v>
      </c>
      <c r="G23">
        <v>234.23586836418679</v>
      </c>
      <c r="H23">
        <v>179.00482843937891</v>
      </c>
    </row>
    <row r="24" spans="1:8" x14ac:dyDescent="0.45">
      <c r="A24">
        <v>2018</v>
      </c>
      <c r="B24">
        <v>3666.95876719238</v>
      </c>
      <c r="C24" s="2">
        <v>0.26200000000000001</v>
      </c>
      <c r="D24">
        <v>2219531.23</v>
      </c>
      <c r="E24">
        <v>1346881.36</v>
      </c>
      <c r="F24">
        <v>3735.3978353999969</v>
      </c>
      <c r="G24">
        <v>242.73168077197974</v>
      </c>
      <c r="H24">
        <v>189.06483561038183</v>
      </c>
    </row>
    <row r="25" spans="1:8" x14ac:dyDescent="0.45">
      <c r="A25">
        <v>2019</v>
      </c>
      <c r="B25">
        <v>3773.3038481726599</v>
      </c>
      <c r="C25" s="2">
        <v>0.27200000000000002</v>
      </c>
      <c r="D25">
        <v>2317981</v>
      </c>
      <c r="E25">
        <v>1376650.912</v>
      </c>
      <c r="F25">
        <v>3772.0445418656195</v>
      </c>
      <c r="G25">
        <v>245.11303800543368</v>
      </c>
      <c r="H25">
        <v>194.54788478818966</v>
      </c>
    </row>
    <row r="26" spans="1:8" x14ac:dyDescent="0.45">
      <c r="A26">
        <v>2020</v>
      </c>
      <c r="B26">
        <v>3803.2729826528098</v>
      </c>
      <c r="C26" s="2">
        <v>0.27605180460135997</v>
      </c>
      <c r="D26">
        <v>2371506.6604194902</v>
      </c>
      <c r="E26">
        <v>1436808.6801511699</v>
      </c>
      <c r="F26">
        <v>3777.0080979641098</v>
      </c>
      <c r="G26">
        <v>245.43557722815709</v>
      </c>
      <c r="H26">
        <v>196.09306427986232</v>
      </c>
    </row>
    <row r="27" spans="1:8" x14ac:dyDescent="0.45">
      <c r="A27">
        <v>2021</v>
      </c>
      <c r="B27">
        <v>3911.9067117239902</v>
      </c>
      <c r="C27" s="2">
        <v>0.27098766033190402</v>
      </c>
      <c r="D27">
        <v>2345339.9541282798</v>
      </c>
      <c r="E27">
        <v>1378238.5077107099</v>
      </c>
      <c r="F27">
        <v>3787.7759467155543</v>
      </c>
      <c r="G27">
        <v>246.13528797943687</v>
      </c>
      <c r="H27">
        <v>201.69411393232707</v>
      </c>
    </row>
    <row r="28" spans="1:8" x14ac:dyDescent="0.45">
      <c r="A28">
        <v>2022</v>
      </c>
      <c r="B28">
        <v>3961.8086656966698</v>
      </c>
      <c r="C28" s="2">
        <v>0.25731537527015802</v>
      </c>
      <c r="D28">
        <v>2260584.4909363398</v>
      </c>
      <c r="E28">
        <v>1351312.7577170799</v>
      </c>
      <c r="F28">
        <v>3766.2140632537175</v>
      </c>
      <c r="G28">
        <v>244.73416487450243</v>
      </c>
      <c r="H28">
        <v>204.26701025417614</v>
      </c>
    </row>
    <row r="29" spans="1:8" x14ac:dyDescent="0.45">
      <c r="A29">
        <v>2023</v>
      </c>
      <c r="B29">
        <v>4125.7598031592597</v>
      </c>
      <c r="C29" s="2">
        <v>0.27530839632178999</v>
      </c>
      <c r="D29">
        <v>2452735.5703328401</v>
      </c>
      <c r="E29">
        <v>1439228.27368988</v>
      </c>
      <c r="F29">
        <v>3963.104277768432</v>
      </c>
      <c r="G29">
        <v>257.52838246594524</v>
      </c>
      <c r="H29">
        <v>212.72017180314907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sources</vt:lpstr>
      <vt:lpstr>graphique 1</vt:lpstr>
      <vt:lpstr>graphique2</vt:lpstr>
      <vt:lpstr>graphique3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Celâl Guney</dc:creator>
  <cp:lastModifiedBy>Celâl Guney</cp:lastModifiedBy>
  <dcterms:created xsi:type="dcterms:W3CDTF">2026-01-08T10:23:05Z</dcterms:created>
  <dcterms:modified xsi:type="dcterms:W3CDTF">2026-01-14T09:48:39Z</dcterms:modified>
</cp:coreProperties>
</file>